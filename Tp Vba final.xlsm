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li_000\Desktop\VBA M2C2\"/>
    </mc:Choice>
  </mc:AlternateContent>
  <bookViews>
    <workbookView xWindow="3720" yWindow="0" windowWidth="19560" windowHeight="8340"/>
  </bookViews>
  <sheets>
    <sheet name="Feuil1" sheetId="1" r:id="rId1"/>
  </sheets>
  <functionGroups builtInGroupCount="18"/>
  <definedNames>
    <definedName name="solver_adj" localSheetId="0" hidden="1">Feuil1!$C$14:$C$16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Feuil1!$C$17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Feuil1!$E$19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52511"/>
  <customWorkbookViews>
    <customWorkbookView name="ameli_000 - Affichage personnalisé" guid="{02D46C20-C0CE-4439-B1A9-A27A76204F03}" mergeInterval="0" personalView="1" maximized="1" xWindow="54" yWindow="-8" windowWidth="1320" windowHeight="784" activeSheetId="1" showComments="commIndAndComment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8" i="1" l="1"/>
  <c r="D39" i="1"/>
  <c r="D44" i="1"/>
  <c r="D43" i="1"/>
  <c r="D42" i="1"/>
  <c r="D41" i="1"/>
  <c r="D40" i="1"/>
  <c r="C44" i="1"/>
  <c r="C43" i="1"/>
  <c r="C42" i="1"/>
  <c r="C41" i="1"/>
  <c r="I26" i="1"/>
  <c r="H26" i="1"/>
  <c r="C38" i="1"/>
  <c r="C40" i="1"/>
  <c r="C39" i="1"/>
  <c r="C17" i="1" l="1"/>
  <c r="F17" i="1"/>
  <c r="E17" i="1" l="1"/>
  <c r="D17" i="1"/>
  <c r="E19" i="1" l="1"/>
</calcChain>
</file>

<file path=xl/sharedStrings.xml><?xml version="1.0" encoding="utf-8"?>
<sst xmlns="http://schemas.openxmlformats.org/spreadsheetml/2006/main" count="42" uniqueCount="33">
  <si>
    <t>Prix</t>
  </si>
  <si>
    <t>Strike</t>
  </si>
  <si>
    <t>Maturité</t>
  </si>
  <si>
    <t>Taux de risque</t>
  </si>
  <si>
    <t>Dividende</t>
  </si>
  <si>
    <t>Call</t>
  </si>
  <si>
    <t>Put</t>
  </si>
  <si>
    <t>Vecteur colonne</t>
  </si>
  <si>
    <t>Vecteur ligne</t>
  </si>
  <si>
    <t>Poids sommant à 1</t>
  </si>
  <si>
    <t>Matrice de corrélation</t>
  </si>
  <si>
    <t>Produit Matriciel</t>
  </si>
  <si>
    <t xml:space="preserve"> NB: les cellules variables sont celles du vecteur colonne</t>
  </si>
  <si>
    <t>Volatilité</t>
  </si>
  <si>
    <t>TP VBA.NET</t>
  </si>
  <si>
    <t xml:space="preserve">Evaluer un Call sur Panier </t>
  </si>
  <si>
    <t xml:space="preserve">Les données : </t>
  </si>
  <si>
    <t>Actif 1 SX5E</t>
  </si>
  <si>
    <t>Actif 2 SPX</t>
  </si>
  <si>
    <t>Actif 3 NKY</t>
  </si>
  <si>
    <t xml:space="preserve">Légende : </t>
  </si>
  <si>
    <t>A1</t>
  </si>
  <si>
    <t>A2</t>
  </si>
  <si>
    <t>A3</t>
  </si>
  <si>
    <t>La matrice de corrélation :</t>
  </si>
  <si>
    <t>Black-Scholes</t>
  </si>
  <si>
    <t>Evaluation par Monte-Carlo</t>
  </si>
  <si>
    <t>€</t>
  </si>
  <si>
    <t>La volatilié en %</t>
  </si>
  <si>
    <t>Iteration</t>
  </si>
  <si>
    <t>Valeur du Call en MC</t>
  </si>
  <si>
    <t>Valeur du call en BS</t>
  </si>
  <si>
    <t>Pricer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</si>
</sst>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5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1"/>
      <name val="Calibri"/>
      <family val="2"/>
      <scheme val="minor"/>
    </font>
    <font>
      <b/>
      <u/>
      <sz val="30"/>
      <color theme="4"/>
      <name val="Calibri"/>
      <family val="2"/>
      <scheme val="minor"/>
    </font>
    <font>
      <sz val="1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ont="1"/>
    <xf numFmtId="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Fill="1"/>
    <xf numFmtId="0" fontId="0" fillId="0" borderId="0" xfId="0" applyFill="1" applyAlignment="1">
      <alignment shrinkToFit="1"/>
    </xf>
    <xf numFmtId="0" fontId="8" fillId="0" borderId="0" xfId="0" applyFont="1"/>
    <xf numFmtId="0" fontId="0" fillId="3" borderId="0" xfId="0" applyFill="1"/>
    <xf numFmtId="0" fontId="0" fillId="4" borderId="0" xfId="0" applyFill="1"/>
    <xf numFmtId="0" fontId="1" fillId="0" borderId="0" xfId="0" applyFont="1" applyFill="1"/>
    <xf numFmtId="0" fontId="10" fillId="0" borderId="0" xfId="0" applyFont="1" applyFill="1"/>
    <xf numFmtId="0" fontId="1" fillId="0" borderId="0" xfId="0" applyFont="1" applyAlignment="1">
      <alignment horizontal="right"/>
    </xf>
    <xf numFmtId="0" fontId="9" fillId="0" borderId="0" xfId="0" applyFont="1"/>
    <xf numFmtId="0" fontId="0" fillId="6" borderId="0" xfId="0" applyFill="1"/>
    <xf numFmtId="0" fontId="0" fillId="7" borderId="0" xfId="0" applyFill="1"/>
    <xf numFmtId="0" fontId="0" fillId="9" borderId="0" xfId="0" applyFill="1"/>
    <xf numFmtId="0" fontId="4" fillId="9" borderId="0" xfId="0" applyFont="1" applyFill="1"/>
    <xf numFmtId="0" fontId="0" fillId="5" borderId="1" xfId="0" applyFill="1" applyBorder="1"/>
    <xf numFmtId="0" fontId="0" fillId="8" borderId="1" xfId="0" applyFill="1" applyBorder="1"/>
    <xf numFmtId="0" fontId="5" fillId="0" borderId="5" xfId="0" applyFont="1" applyBorder="1"/>
    <xf numFmtId="0" fontId="5" fillId="0" borderId="6" xfId="0" applyFont="1" applyBorder="1"/>
    <xf numFmtId="0" fontId="11" fillId="0" borderId="7" xfId="0" applyFont="1" applyBorder="1"/>
    <xf numFmtId="0" fontId="11" fillId="0" borderId="8" xfId="0" applyFont="1" applyBorder="1"/>
    <xf numFmtId="0" fontId="7" fillId="0" borderId="2" xfId="0" applyFont="1" applyFill="1" applyBorder="1" applyAlignment="1" applyProtection="1">
      <alignment horizontal="center" vertical="center"/>
    </xf>
    <xf numFmtId="0" fontId="7" fillId="0" borderId="12" xfId="0" applyFont="1" applyFill="1" applyBorder="1" applyAlignment="1" applyProtection="1">
      <alignment horizontal="center" vertical="center"/>
      <protection locked="0"/>
    </xf>
    <xf numFmtId="2" fontId="7" fillId="0" borderId="0" xfId="0" quotePrefix="1" applyNumberFormat="1" applyFont="1" applyFill="1" applyBorder="1" applyAlignment="1" applyProtection="1">
      <alignment horizontal="center" vertical="center"/>
      <protection locked="0"/>
    </xf>
    <xf numFmtId="2" fontId="7" fillId="0" borderId="0" xfId="0" applyNumberFormat="1" applyFont="1" applyFill="1" applyBorder="1" applyAlignment="1" applyProtection="1">
      <alignment horizontal="center" vertical="center"/>
      <protection locked="0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3" xfId="0" applyFont="1" applyFill="1" applyBorder="1" applyAlignment="1" applyProtection="1">
      <alignment horizontal="center" vertical="center"/>
      <protection locked="0"/>
    </xf>
    <xf numFmtId="2" fontId="7" fillId="0" borderId="14" xfId="0" quotePrefix="1" applyNumberFormat="1" applyFont="1" applyFill="1" applyBorder="1" applyAlignment="1" applyProtection="1">
      <alignment horizontal="center" vertical="center"/>
      <protection locked="0"/>
    </xf>
    <xf numFmtId="2" fontId="7" fillId="0" borderId="14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5" borderId="0" xfId="0" applyFill="1" applyAlignment="1">
      <alignment horizontal="left" shrinkToFit="1"/>
    </xf>
    <xf numFmtId="0" fontId="0" fillId="5" borderId="0" xfId="0" applyFill="1" applyAlignment="1">
      <alignment horizontal="left"/>
    </xf>
    <xf numFmtId="0" fontId="7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3" fillId="0" borderId="1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fr-F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Feuil1!$C$37</c:f>
              <c:strCache>
                <c:ptCount val="1"/>
                <c:pt idx="0">
                  <c:v>Valeur du Call en MC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Feuil1!$B$38:$B$44</c:f>
              <c:numCache>
                <c:formatCode>General</c:formatCode>
                <c:ptCount val="7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70000</c:v>
                </c:pt>
                <c:pt idx="4">
                  <c:v>200000</c:v>
                </c:pt>
                <c:pt idx="5">
                  <c:v>500000</c:v>
                </c:pt>
                <c:pt idx="6">
                  <c:v>1000000</c:v>
                </c:pt>
              </c:numCache>
            </c:numRef>
          </c:xVal>
          <c:yVal>
            <c:numRef>
              <c:f>Feuil1!$C$38:$C$44</c:f>
              <c:numCache>
                <c:formatCode>0.00</c:formatCode>
                <c:ptCount val="7"/>
                <c:pt idx="0">
                  <c:v>9.8814000176602867</c:v>
                </c:pt>
                <c:pt idx="1">
                  <c:v>9.7549709802078599</c:v>
                </c:pt>
                <c:pt idx="2">
                  <c:v>9.9925559251527343</c:v>
                </c:pt>
                <c:pt idx="3">
                  <c:v>9.926064712424477</c:v>
                </c:pt>
                <c:pt idx="4">
                  <c:v>10.015322933748429</c:v>
                </c:pt>
                <c:pt idx="5">
                  <c:v>10.029622257401355</c:v>
                </c:pt>
                <c:pt idx="6">
                  <c:v>10.023807126499925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Feuil1!$D$37</c:f>
              <c:strCache>
                <c:ptCount val="1"/>
                <c:pt idx="0">
                  <c:v>Valeur du call en BS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Feuil1!$B$38:$B$44</c:f>
              <c:numCache>
                <c:formatCode>General</c:formatCode>
                <c:ptCount val="7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70000</c:v>
                </c:pt>
                <c:pt idx="4">
                  <c:v>200000</c:v>
                </c:pt>
                <c:pt idx="5">
                  <c:v>500000</c:v>
                </c:pt>
                <c:pt idx="6">
                  <c:v>1000000</c:v>
                </c:pt>
              </c:numCache>
            </c:numRef>
          </c:xVal>
          <c:yVal>
            <c:numRef>
              <c:f>Feuil1!$D$38:$D$44</c:f>
              <c:numCache>
                <c:formatCode>0.00</c:formatCode>
                <c:ptCount val="7"/>
                <c:pt idx="0">
                  <c:v>10.033262343550383</c:v>
                </c:pt>
                <c:pt idx="1">
                  <c:v>10.033262343550383</c:v>
                </c:pt>
                <c:pt idx="2">
                  <c:v>10.033262343550383</c:v>
                </c:pt>
                <c:pt idx="3">
                  <c:v>10.033262343550383</c:v>
                </c:pt>
                <c:pt idx="4">
                  <c:v>10.033262343550383</c:v>
                </c:pt>
                <c:pt idx="5">
                  <c:v>10.033262343550383</c:v>
                </c:pt>
                <c:pt idx="6">
                  <c:v>10.033262343550383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944616"/>
        <c:axId val="503944224"/>
      </c:scatterChart>
      <c:valAx>
        <c:axId val="503944616"/>
        <c:scaling>
          <c:logBase val="10"/>
          <c:orientation val="minMax"/>
          <c:max val="1000100"/>
          <c:min val="9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Itération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3944224"/>
        <c:crosses val="autoZero"/>
        <c:crossBetween val="midCat"/>
      </c:valAx>
      <c:valAx>
        <c:axId val="503944224"/>
        <c:scaling>
          <c:orientation val="minMax"/>
          <c:max val="10.533262343550383"/>
          <c:min val="9.533262343550383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Valeur du Call en euros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03944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14</xdr:row>
      <xdr:rowOff>171450</xdr:rowOff>
    </xdr:from>
    <xdr:to>
      <xdr:col>8</xdr:col>
      <xdr:colOff>57150</xdr:colOff>
      <xdr:row>16</xdr:row>
      <xdr:rowOff>142875</xdr:rowOff>
    </xdr:to>
    <xdr:sp macro="[0]!sol" textlink="">
      <xdr:nvSpPr>
        <xdr:cNvPr id="2" name="Rectangle à coins arrondis 1"/>
        <xdr:cNvSpPr/>
      </xdr:nvSpPr>
      <xdr:spPr>
        <a:xfrm>
          <a:off x="6372225" y="3009900"/>
          <a:ext cx="781050" cy="352425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Cliquez</a:t>
          </a:r>
        </a:p>
      </xdr:txBody>
    </xdr:sp>
    <xdr:clientData/>
  </xdr:twoCellAnchor>
  <xdr:twoCellAnchor>
    <xdr:from>
      <xdr:col>4</xdr:col>
      <xdr:colOff>66675</xdr:colOff>
      <xdr:row>24</xdr:row>
      <xdr:rowOff>0</xdr:rowOff>
    </xdr:from>
    <xdr:to>
      <xdr:col>6</xdr:col>
      <xdr:colOff>28575</xdr:colOff>
      <xdr:row>27</xdr:row>
      <xdr:rowOff>38100</xdr:rowOff>
    </xdr:to>
    <xdr:sp macro="" textlink="">
      <xdr:nvSpPr>
        <xdr:cNvPr id="3" name="Flèche droite 2"/>
        <xdr:cNvSpPr/>
      </xdr:nvSpPr>
      <xdr:spPr>
        <a:xfrm>
          <a:off x="3857625" y="5162550"/>
          <a:ext cx="1743075" cy="6096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9525</xdr:colOff>
      <xdr:row>45</xdr:row>
      <xdr:rowOff>0</xdr:rowOff>
    </xdr:from>
    <xdr:to>
      <xdr:col>4</xdr:col>
      <xdr:colOff>1009650</xdr:colOff>
      <xdr:row>47</xdr:row>
      <xdr:rowOff>9525</xdr:rowOff>
    </xdr:to>
    <xdr:sp macro="[0]!GraphCreation" textlink="">
      <xdr:nvSpPr>
        <xdr:cNvPr id="4" name="Rectangle 3"/>
        <xdr:cNvSpPr/>
      </xdr:nvSpPr>
      <xdr:spPr>
        <a:xfrm>
          <a:off x="771525" y="9791700"/>
          <a:ext cx="4591050" cy="3905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Graph</a:t>
          </a:r>
        </a:p>
      </xdr:txBody>
    </xdr:sp>
    <xdr:clientData/>
  </xdr:twoCellAnchor>
  <xdr:twoCellAnchor>
    <xdr:from>
      <xdr:col>6</xdr:col>
      <xdr:colOff>0</xdr:colOff>
      <xdr:row>35</xdr:row>
      <xdr:rowOff>0</xdr:rowOff>
    </xdr:from>
    <xdr:to>
      <xdr:col>9</xdr:col>
      <xdr:colOff>828675</xdr:colOff>
      <xdr:row>49</xdr:row>
      <xdr:rowOff>47625</xdr:rowOff>
    </xdr:to>
    <xdr:graphicFrame macro="">
      <xdr:nvGraphicFramePr>
        <xdr:cNvPr id="5" name="CALL 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K62"/>
  <sheetViews>
    <sheetView tabSelected="1" workbookViewId="0">
      <selection activeCell="C39" sqref="C39"/>
    </sheetView>
  </sheetViews>
  <sheetFormatPr baseColWidth="10" defaultRowHeight="15" x14ac:dyDescent="0.25"/>
  <cols>
    <col min="2" max="2" width="19.85546875" customWidth="1"/>
    <col min="3" max="3" width="20.5703125" customWidth="1"/>
    <col min="4" max="4" width="24.5703125" customWidth="1"/>
    <col min="5" max="5" width="15.28515625" customWidth="1"/>
    <col min="8" max="8" width="21.28515625" customWidth="1"/>
    <col min="9" max="9" width="23.42578125" customWidth="1"/>
    <col min="10" max="10" width="14" customWidth="1"/>
  </cols>
  <sheetData>
    <row r="2" spans="2:11" ht="39" x14ac:dyDescent="0.6">
      <c r="C2" s="5"/>
      <c r="D2" s="6"/>
      <c r="E2" s="7" t="s">
        <v>14</v>
      </c>
    </row>
    <row r="4" spans="2:11" ht="26.25" x14ac:dyDescent="0.4">
      <c r="B4" s="10" t="s">
        <v>15</v>
      </c>
    </row>
    <row r="5" spans="2:11" x14ac:dyDescent="0.25">
      <c r="B5" s="14" t="s">
        <v>16</v>
      </c>
      <c r="C5" s="13" t="s">
        <v>28</v>
      </c>
      <c r="D5" s="8"/>
      <c r="E5" s="9"/>
      <c r="F5" s="8"/>
      <c r="G5" s="14" t="s">
        <v>20</v>
      </c>
      <c r="H5" s="8" t="s">
        <v>7</v>
      </c>
      <c r="I5" s="17"/>
      <c r="K5" s="8"/>
    </row>
    <row r="6" spans="2:11" x14ac:dyDescent="0.25">
      <c r="B6" s="8"/>
      <c r="C6" s="11" t="s">
        <v>17</v>
      </c>
      <c r="D6" s="37">
        <v>16</v>
      </c>
      <c r="F6" s="8"/>
      <c r="G6" s="8"/>
      <c r="H6" s="8" t="s">
        <v>8</v>
      </c>
      <c r="I6" s="18"/>
      <c r="K6" s="8"/>
    </row>
    <row r="7" spans="2:11" x14ac:dyDescent="0.25">
      <c r="B7" s="8"/>
      <c r="C7" s="11" t="s">
        <v>18</v>
      </c>
      <c r="D7" s="38">
        <v>17</v>
      </c>
      <c r="E7" s="8"/>
      <c r="F7" s="8"/>
      <c r="G7" s="8"/>
      <c r="H7" s="8" t="s">
        <v>9</v>
      </c>
      <c r="I7" s="12"/>
      <c r="K7" s="8"/>
    </row>
    <row r="8" spans="2:11" x14ac:dyDescent="0.25">
      <c r="B8" s="8"/>
      <c r="C8" s="11" t="s">
        <v>19</v>
      </c>
      <c r="D8" s="38">
        <v>19</v>
      </c>
      <c r="E8" s="8"/>
      <c r="F8" s="8"/>
      <c r="G8" s="8"/>
      <c r="H8" s="8" t="s">
        <v>10</v>
      </c>
      <c r="I8" s="2"/>
    </row>
    <row r="9" spans="2:11" x14ac:dyDescent="0.25">
      <c r="G9" s="8"/>
      <c r="H9" s="8" t="s">
        <v>11</v>
      </c>
      <c r="I9" s="19"/>
    </row>
    <row r="10" spans="2:11" x14ac:dyDescent="0.25">
      <c r="H10" t="s">
        <v>12</v>
      </c>
    </row>
    <row r="12" spans="2:11" x14ac:dyDescent="0.25">
      <c r="B12" s="16" t="s">
        <v>24</v>
      </c>
    </row>
    <row r="13" spans="2:11" x14ac:dyDescent="0.25">
      <c r="D13" s="1" t="s">
        <v>21</v>
      </c>
      <c r="E13" s="1" t="s">
        <v>22</v>
      </c>
      <c r="F13" s="1" t="s">
        <v>23</v>
      </c>
    </row>
    <row r="14" spans="2:11" x14ac:dyDescent="0.25">
      <c r="B14" s="15" t="s">
        <v>21</v>
      </c>
      <c r="C14" s="17">
        <v>0</v>
      </c>
      <c r="D14" s="2">
        <v>1</v>
      </c>
      <c r="E14" s="2">
        <v>0.8</v>
      </c>
      <c r="F14" s="2">
        <v>0.7</v>
      </c>
      <c r="J14" s="3"/>
      <c r="K14" s="4"/>
    </row>
    <row r="15" spans="2:11" x14ac:dyDescent="0.25">
      <c r="B15" s="15" t="s">
        <v>22</v>
      </c>
      <c r="C15" s="17">
        <v>0.50000011545572676</v>
      </c>
      <c r="D15" s="2">
        <v>0.8</v>
      </c>
      <c r="E15" s="2">
        <v>1</v>
      </c>
      <c r="F15" s="2">
        <v>0.4</v>
      </c>
      <c r="J15" s="3"/>
      <c r="K15" s="4"/>
    </row>
    <row r="16" spans="2:11" x14ac:dyDescent="0.25">
      <c r="B16" s="15" t="s">
        <v>23</v>
      </c>
      <c r="C16" s="17">
        <v>0.50000018202901686</v>
      </c>
      <c r="D16" s="2">
        <v>0.7</v>
      </c>
      <c r="E16" s="2">
        <v>0.4</v>
      </c>
      <c r="F16" s="2">
        <v>1</v>
      </c>
      <c r="J16" s="3"/>
      <c r="K16" s="4"/>
    </row>
    <row r="17" spans="2:9" x14ac:dyDescent="0.25">
      <c r="C17" s="12">
        <f>C14+C15+C16</f>
        <v>1.0000002974847435</v>
      </c>
      <c r="D17" s="18">
        <f>C14</f>
        <v>0</v>
      </c>
      <c r="E17" s="18">
        <f>C15</f>
        <v>0.50000011545572676</v>
      </c>
      <c r="F17" s="18">
        <f>C16</f>
        <v>0.50000018202901686</v>
      </c>
    </row>
    <row r="19" spans="2:9" x14ac:dyDescent="0.25">
      <c r="E19" s="20">
        <f>MMULT(MMULT(D17:F17,D14:F16),C14:C16)</f>
        <v>0.70000041647870437</v>
      </c>
    </row>
    <row r="22" spans="2:9" ht="26.25" x14ac:dyDescent="0.4">
      <c r="B22" s="10" t="s">
        <v>25</v>
      </c>
    </row>
    <row r="24" spans="2:9" x14ac:dyDescent="0.25">
      <c r="B24" s="21" t="s">
        <v>0</v>
      </c>
      <c r="C24" s="22">
        <v>90</v>
      </c>
    </row>
    <row r="25" spans="2:9" ht="39" x14ac:dyDescent="0.6">
      <c r="B25" s="21" t="s">
        <v>1</v>
      </c>
      <c r="C25" s="22">
        <v>100</v>
      </c>
      <c r="H25" s="23" t="s">
        <v>5</v>
      </c>
      <c r="I25" s="24" t="s">
        <v>6</v>
      </c>
    </row>
    <row r="26" spans="2:9" ht="26.25" x14ac:dyDescent="0.4">
      <c r="B26" s="21" t="s">
        <v>2</v>
      </c>
      <c r="C26" s="22">
        <v>0.5</v>
      </c>
      <c r="H26" s="25">
        <f>Calcul_Call(C24,C25,C26,C27,C28)</f>
        <v>33.064336876127641</v>
      </c>
      <c r="I26" s="26">
        <f>Calcul_Put(C24,C25,C26,C27,C28,C29)</f>
        <v>10.09634108014969</v>
      </c>
    </row>
    <row r="27" spans="2:9" x14ac:dyDescent="0.25">
      <c r="B27" s="21" t="s">
        <v>3</v>
      </c>
      <c r="C27" s="22">
        <v>0.8</v>
      </c>
    </row>
    <row r="28" spans="2:9" x14ac:dyDescent="0.25">
      <c r="B28" s="21" t="s">
        <v>13</v>
      </c>
      <c r="C28" s="22">
        <v>0.9</v>
      </c>
    </row>
    <row r="29" spans="2:9" x14ac:dyDescent="0.25">
      <c r="B29" s="21" t="s">
        <v>4</v>
      </c>
      <c r="C29" s="22">
        <v>0</v>
      </c>
    </row>
    <row r="33" spans="2:5" ht="26.25" x14ac:dyDescent="0.4">
      <c r="B33" s="10" t="s">
        <v>26</v>
      </c>
    </row>
    <row r="35" spans="2:5" ht="15.75" thickBot="1" x14ac:dyDescent="0.3"/>
    <row r="36" spans="2:5" ht="15.75" thickBot="1" x14ac:dyDescent="0.3">
      <c r="B36" s="39" t="s">
        <v>32</v>
      </c>
      <c r="C36" s="40"/>
      <c r="D36" s="40"/>
      <c r="E36" s="41"/>
    </row>
    <row r="37" spans="2:5" ht="15.75" thickBot="1" x14ac:dyDescent="0.3">
      <c r="B37" s="27" t="s">
        <v>29</v>
      </c>
      <c r="C37" s="27" t="s">
        <v>30</v>
      </c>
      <c r="D37" s="27" t="s">
        <v>31</v>
      </c>
      <c r="E37" s="27"/>
    </row>
    <row r="38" spans="2:5" x14ac:dyDescent="0.25">
      <c r="B38" s="28">
        <v>1000</v>
      </c>
      <c r="C38" s="29">
        <f>_xll.CalculPricerCall(100,100,1.5,$D$6,3,B38)</f>
        <v>9.8814000176602867</v>
      </c>
      <c r="D38" s="30">
        <f>_xll.CalculCall(100,100,1.5,$D$6,3)</f>
        <v>10.033262343550383</v>
      </c>
      <c r="E38" s="31" t="s">
        <v>27</v>
      </c>
    </row>
    <row r="39" spans="2:5" x14ac:dyDescent="0.25">
      <c r="B39" s="28">
        <v>5000</v>
      </c>
      <c r="C39" s="29">
        <f>_xll.CalculPricerCall(100,100,1.5,$D$6,3,B39)</f>
        <v>9.7549709802078599</v>
      </c>
      <c r="D39" s="30">
        <f>_xll.CalculCall(100,100,1.5,$D$6,3)</f>
        <v>10.033262343550383</v>
      </c>
      <c r="E39" s="31" t="s">
        <v>27</v>
      </c>
    </row>
    <row r="40" spans="2:5" x14ac:dyDescent="0.25">
      <c r="B40" s="28">
        <v>10000</v>
      </c>
      <c r="C40" s="29">
        <f>_xll.CalculPricerCall(100,100,1.5,$D$6,3,B40)</f>
        <v>9.9925559251527343</v>
      </c>
      <c r="D40" s="30">
        <f>_xll.CalculCall(100,100,1.5,$D$6,3)</f>
        <v>10.033262343550383</v>
      </c>
      <c r="E40" s="31" t="s">
        <v>27</v>
      </c>
    </row>
    <row r="41" spans="2:5" x14ac:dyDescent="0.25">
      <c r="B41" s="28">
        <v>70000</v>
      </c>
      <c r="C41" s="29">
        <f>_xll.CalculPricerCall(100,100,1.5,$D$6,3,B41)</f>
        <v>9.926064712424477</v>
      </c>
      <c r="D41" s="30">
        <f>_xll.CalculCall(100,100,1.5,$D$6,3)</f>
        <v>10.033262343550383</v>
      </c>
      <c r="E41" s="31" t="s">
        <v>27</v>
      </c>
    </row>
    <row r="42" spans="2:5" x14ac:dyDescent="0.25">
      <c r="B42" s="28">
        <v>200000</v>
      </c>
      <c r="C42" s="29">
        <f>_xll.CalculPricerCall(100,100,1.5,$D$6,3,B42)</f>
        <v>10.015322933748429</v>
      </c>
      <c r="D42" s="30">
        <f>_xll.CalculCall(100,100,1.5,$D$6,3)</f>
        <v>10.033262343550383</v>
      </c>
      <c r="E42" s="31" t="s">
        <v>27</v>
      </c>
    </row>
    <row r="43" spans="2:5" x14ac:dyDescent="0.25">
      <c r="B43" s="28">
        <v>500000</v>
      </c>
      <c r="C43" s="29">
        <f>_xll.CalculPricerCall(100,100,1.5,$D$6,3,B43)</f>
        <v>10.029622257401355</v>
      </c>
      <c r="D43" s="30">
        <f>_xll.CalculCall(100,100,1.5,$D$6,3)</f>
        <v>10.033262343550383</v>
      </c>
      <c r="E43" s="31" t="s">
        <v>27</v>
      </c>
    </row>
    <row r="44" spans="2:5" ht="15.75" thickBot="1" x14ac:dyDescent="0.3">
      <c r="B44" s="32">
        <v>1000000</v>
      </c>
      <c r="C44" s="33">
        <f>_xll.CalculPricerCall(100,100,1.5,$D$6,3,B44)</f>
        <v>10.023807126499925</v>
      </c>
      <c r="D44" s="34">
        <f>_xll.CalculCall(100,100,1.5,$D$6,3)</f>
        <v>10.033262343550383</v>
      </c>
      <c r="E44" s="35" t="s">
        <v>27</v>
      </c>
    </row>
    <row r="45" spans="2:5" x14ac:dyDescent="0.25">
      <c r="B45" s="36"/>
      <c r="C45" s="36"/>
      <c r="D45" s="36"/>
      <c r="E45" s="36"/>
    </row>
    <row r="46" spans="2:5" x14ac:dyDescent="0.25">
      <c r="B46" s="36"/>
      <c r="C46" s="36"/>
      <c r="D46" s="36"/>
      <c r="E46" s="36"/>
    </row>
    <row r="47" spans="2:5" x14ac:dyDescent="0.25">
      <c r="B47" s="36"/>
      <c r="C47" s="36"/>
      <c r="D47" s="36"/>
      <c r="E47" s="36"/>
    </row>
    <row r="48" spans="2:5" x14ac:dyDescent="0.25">
      <c r="B48" s="36"/>
      <c r="C48" s="36"/>
      <c r="D48" s="36"/>
      <c r="E48" s="36"/>
    </row>
    <row r="49" spans="2:5" x14ac:dyDescent="0.25">
      <c r="B49" s="36"/>
      <c r="C49" s="36"/>
      <c r="D49" s="36"/>
      <c r="E49" s="36"/>
    </row>
    <row r="50" spans="2:5" x14ac:dyDescent="0.25">
      <c r="B50" s="36"/>
      <c r="C50" s="36"/>
      <c r="D50" s="36"/>
      <c r="E50" s="36"/>
    </row>
    <row r="51" spans="2:5" x14ac:dyDescent="0.25">
      <c r="B51" s="36"/>
      <c r="C51" s="36"/>
      <c r="D51" s="36"/>
      <c r="E51" s="36"/>
    </row>
    <row r="52" spans="2:5" x14ac:dyDescent="0.25">
      <c r="B52" s="36"/>
      <c r="C52" s="36"/>
      <c r="D52" s="36"/>
      <c r="E52" s="36"/>
    </row>
    <row r="53" spans="2:5" x14ac:dyDescent="0.25">
      <c r="B53" s="36"/>
      <c r="C53" s="36"/>
      <c r="D53" s="36"/>
      <c r="E53" s="36"/>
    </row>
    <row r="54" spans="2:5" x14ac:dyDescent="0.25">
      <c r="B54" s="36"/>
      <c r="C54" s="36"/>
      <c r="D54" s="36"/>
      <c r="E54" s="36"/>
    </row>
    <row r="55" spans="2:5" x14ac:dyDescent="0.25">
      <c r="B55" s="36"/>
      <c r="C55" s="36"/>
      <c r="D55" s="36"/>
      <c r="E55" s="36"/>
    </row>
    <row r="56" spans="2:5" x14ac:dyDescent="0.25">
      <c r="B56" s="36"/>
      <c r="C56" s="36"/>
      <c r="D56" s="36"/>
      <c r="E56" s="36"/>
    </row>
    <row r="57" spans="2:5" x14ac:dyDescent="0.25">
      <c r="B57" s="36"/>
      <c r="C57" s="36"/>
      <c r="D57" s="36"/>
      <c r="E57" s="36"/>
    </row>
    <row r="58" spans="2:5" x14ac:dyDescent="0.25">
      <c r="B58" s="36"/>
      <c r="C58" s="36"/>
      <c r="D58" s="36"/>
      <c r="E58" s="36"/>
    </row>
    <row r="59" spans="2:5" x14ac:dyDescent="0.25">
      <c r="B59" s="36"/>
      <c r="C59" s="36"/>
      <c r="D59" s="36"/>
      <c r="E59" s="36"/>
    </row>
    <row r="60" spans="2:5" x14ac:dyDescent="0.25">
      <c r="B60" s="36"/>
      <c r="C60" s="36"/>
      <c r="D60" s="36"/>
      <c r="E60" s="36"/>
    </row>
    <row r="61" spans="2:5" x14ac:dyDescent="0.25">
      <c r="B61" s="36"/>
      <c r="C61" s="36"/>
      <c r="D61" s="36"/>
      <c r="E61" s="36"/>
    </row>
    <row r="62" spans="2:5" x14ac:dyDescent="0.25">
      <c r="B62" s="36"/>
      <c r="C62" s="36"/>
      <c r="D62" s="36"/>
      <c r="E62" s="36"/>
    </row>
  </sheetData>
  <customSheetViews>
    <customSheetView guid="{02D46C20-C0CE-4439-B1A9-A27A76204F03}" topLeftCell="A9">
      <selection activeCell="I27" sqref="I27"/>
      <pageMargins left="0.7" right="0.7" top="0.75" bottom="0.75" header="0.3" footer="0.3"/>
      <pageSetup paperSize="9" orientation="portrait" r:id="rId1"/>
    </customSheetView>
  </customSheetViews>
  <mergeCells count="1">
    <mergeCell ref="B36:E36"/>
  </mergeCell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ameli_000</dc:creator>
  <cp:lastModifiedBy>ameli_000</cp:lastModifiedBy>
  <dcterms:created xsi:type="dcterms:W3CDTF">2014-11-18T13:27:51Z</dcterms:created>
  <dcterms:modified xsi:type="dcterms:W3CDTF">2014-12-30T13:58:21Z</dcterms:modified>
</cp:coreProperties>
</file>